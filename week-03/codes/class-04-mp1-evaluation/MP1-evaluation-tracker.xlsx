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1 Tracker" sheetId="1" state="visible" r:id="rId3"/>
    <sheet name="Rubric" sheetId="2" state="visible" r:id="rId4"/>
    <sheet name="Question Bank" sheetId="3" state="visible" r:id="rId5"/>
    <sheet name="Live Modific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<sst xmlns="http://schemas.openxmlformats.org/spreadsheetml/2006/main" count="151" uniqueCount="140">
  <si>
    <t xml:space="preserve">CSE-2340 Software Development 1 — Mini Project 1 Evaluation Tracker</t>
  </si>
  <si>
    <t xml:space="preserve">Week 3, C4 · Autumn 2026 · Md Sadman Hafiz, Lecturer, Dept. of CSE, IIUC</t>
  </si>
  <si>
    <t xml:space="preserve">HOW TO USE: type marks only in the five yellow criterion columns (F–J). Column K totals them automatically. Columns A–E are filled before the class. Row 8 is an example — delete it before you start.</t>
  </si>
  <si>
    <t xml:space="preserve">#</t>
  </si>
  <si>
    <t xml:space="preserve">Student Name</t>
  </si>
  <si>
    <t xml:space="preserve">Student ID</t>
  </si>
  <si>
    <t xml:space="preserve">Repo URL</t>
  </si>
  <si>
    <t xml:space="preserve">Deployed URL</t>
  </si>
  <si>
    <t xml:space="preserve">Core func. (2.0)</t>
  </si>
  <si>
    <t xml:space="preserve">Technical (1.25)</t>
  </si>
  <si>
    <t xml:space="preserve">Responsive (0.75)</t>
  </si>
  <si>
    <t xml:space="preserve">Code org. (0.5)</t>
  </si>
  <si>
    <t xml:space="preserve">Demo (0.5)</t>
  </si>
  <si>
    <t xml:space="preserve">TOTAL (5)</t>
  </si>
  <si>
    <t xml:space="preserve">Live mod. asked</t>
  </si>
  <si>
    <t xml:space="preserve">Notes / feedback</t>
  </si>
  <si>
    <t xml:space="preserve">Status</t>
  </si>
  <si>
    <t xml:space="preserve">EXAMPLE — delete this row</t>
  </si>
  <si>
    <t xml:space="preserve">C251001</t>
  </si>
  <si>
    <t xml:space="preserve">https://github.com/user/mp1</t>
  </si>
  <si>
    <t xml:space="preserve">https://user.github.io/mp1</t>
  </si>
  <si>
    <t xml:space="preserve">Stack cards on phone</t>
  </si>
  <si>
    <t xml:space="preserve">Strong layout; alt text weak on two images</t>
  </si>
  <si>
    <t xml:space="preserve">Done</t>
  </si>
  <si>
    <t xml:space="preserve">SUMMARY</t>
  </si>
  <si>
    <t xml:space="preserve">Students evaluated</t>
  </si>
  <si>
    <t xml:space="preserve">Average mark</t>
  </si>
  <si>
    <t xml:space="preserve">Highest</t>
  </si>
  <si>
    <t xml:space="preserve">Lowest</t>
  </si>
  <si>
    <t xml:space="preserve">Not deployed</t>
  </si>
  <si>
    <t xml:space="preserve">Absent</t>
  </si>
  <si>
    <t xml:space="preserve">To re-evaluate</t>
  </si>
  <si>
    <t xml:space="preserve">Mini Project 1 — Marking Rubric (5 marks)</t>
  </si>
  <si>
    <t xml:space="preserve">Weights follow the syllabus. Marks below are the 5-mark equivalents.</t>
  </si>
  <si>
    <t xml:space="preserve">Criterion</t>
  </si>
  <si>
    <t xml:space="preserve">Weight</t>
  </si>
  <si>
    <t xml:space="preserve">Marks</t>
  </si>
  <si>
    <t xml:space="preserve">Full marks means</t>
  </si>
  <si>
    <t xml:space="preserve">Half marks means</t>
  </si>
  <si>
    <t xml:space="preserve">Zero means</t>
  </si>
  <si>
    <t xml:space="preserve">Core functionality</t>
  </si>
  <si>
    <t xml:space="preserve">40%</t>
  </si>
  <si>
    <t xml:space="preserve">Page works, all required sections present, deployed and reachable at a live URL</t>
  </si>
  <si>
    <t xml:space="preserve">Page works locally but deployment is broken, or one required section is missing</t>
  </si>
  <si>
    <t xml:space="preserve">Not deployed and major sections missing</t>
  </si>
  <si>
    <t xml:space="preserve">Technical implementation</t>
  </si>
  <si>
    <t xml:space="preserve">25%</t>
  </si>
  <si>
    <t xml:space="preserve">Semantic HTML throughout; Flexbox and Grid each used where appropriate; mobile-first CSS</t>
  </si>
  <si>
    <t xml:space="preserve">Semantic in places; only one of Flexbox/Grid used, or desktop-first CSS</t>
  </si>
  <si>
    <t xml:space="preserve">div soup, inline styles, or no external stylesheet</t>
  </si>
  <si>
    <t xml:space="preserve">Responsiveness / usability</t>
  </si>
  <si>
    <t xml:space="preserve">15%</t>
  </si>
  <si>
    <t xml:space="preserve">Correct at 360px, 768px and 1280px; all ten accessibility checklist points pass</t>
  </si>
  <si>
    <t xml:space="preserve">Works at two of the three widths, or two to three checklist failures</t>
  </si>
  <si>
    <t xml:space="preserve">Horizontal scroll at 360px, or many accessibility failures</t>
  </si>
  <si>
    <t xml:space="preserve">Code organisation</t>
  </si>
  <si>
    <t xml:space="preserve">10%</t>
  </si>
  <si>
    <t xml:space="preserve">Clear structure and naming; 8+ meaningful commits; README present</t>
  </si>
  <si>
    <t xml:space="preserve">Reasonable code but a thin commit history or a missing README</t>
  </si>
  <si>
    <t xml:space="preserve">One commit, or no README, or unreadable structure</t>
  </si>
  <si>
    <t xml:space="preserve">Individual demonstration</t>
  </si>
  <si>
    <t xml:space="preserve">Explains any line on request and completes the live modification</t>
  </si>
  <si>
    <t xml:space="preserve">Explains the general structure but hesitates on specifics</t>
  </si>
  <si>
    <t xml:space="preserve">Cannot explain the code or complete any modification</t>
  </si>
  <si>
    <t xml:space="preserve">TOTAL</t>
  </si>
  <si>
    <t xml:space="preserve">Ownership and debugging questions — ask one or two per student</t>
  </si>
  <si>
    <t xml:space="preserve">Pick questions that match what the student actually built. Do not ask about Grid if they used none. Two questions maximum; the aim is evidence of ownership, not an interrogation.</t>
  </si>
  <si>
    <t xml:space="preserve">Area</t>
  </si>
  <si>
    <t xml:space="preserve">Question</t>
  </si>
  <si>
    <t xml:space="preserve">What a good answer shows</t>
  </si>
  <si>
    <t xml:space="preserve">Structure</t>
  </si>
  <si>
    <t xml:space="preserve">Why did you use Grid here and Flexbox there?</t>
  </si>
  <si>
    <t xml:space="preserve">Knows one-direction vs two-direction, not just that both exist</t>
  </si>
  <si>
    <t xml:space="preserve">Why is this a &lt;section&gt; and not a &lt;div&gt;?</t>
  </si>
  <si>
    <t xml:space="preserve">Can name the meaning the tag carries</t>
  </si>
  <si>
    <t xml:space="preserve">Where is your only &lt;h1&gt;, and why only one?</t>
  </si>
  <si>
    <t xml:space="preserve">Understands heading order as a document outline</t>
  </si>
  <si>
    <t xml:space="preserve">Box model</t>
  </si>
  <si>
    <t xml:space="preserve">Why does this element have box-sizing applied?</t>
  </si>
  <si>
    <t xml:space="preserve">Knows width would otherwise exclude padding and border</t>
  </si>
  <si>
    <t xml:space="preserve">Is this spacing padding or margin, and why that one?</t>
  </si>
  <si>
    <t xml:space="preserve">Inside vs outside the border</t>
  </si>
  <si>
    <t xml:space="preserve">Layout</t>
  </si>
  <si>
    <t xml:space="preserve">What does flex: 1 1 280px do here?</t>
  </si>
  <si>
    <t xml:space="preserve">Grow, shrink, minimum basis — and why the cards wrap</t>
  </si>
  <si>
    <t xml:space="preserve">Explain repeat(auto-fit, minmax(...)) in your own words</t>
  </si>
  <si>
    <t xml:space="preserve">Column count decided by available width, no media query</t>
  </si>
  <si>
    <t xml:space="preserve">Responsive</t>
  </si>
  <si>
    <t xml:space="preserve">Where is your mobile-first base, and where is the first breakpoint?</t>
  </si>
  <si>
    <t xml:space="preserve">Base has no media query; queries only add</t>
  </si>
  <si>
    <t xml:space="preserve">Show me what happens at 360px</t>
  </si>
  <si>
    <t xml:space="preserve">Can open device mode and knows what to expect</t>
  </si>
  <si>
    <t xml:space="preserve">Why did you choose that breakpoint value?</t>
  </si>
  <si>
    <t xml:space="preserve">Chose where their layout broke, not a number from a blog</t>
  </si>
  <si>
    <t xml:space="preserve">Cascade</t>
  </si>
  <si>
    <t xml:space="preserve">Which rule is setting this colour, and what is beating it?</t>
  </si>
  <si>
    <t xml:space="preserve">Can read the Styles panel and name the winner</t>
  </si>
  <si>
    <t xml:space="preserve">What is the specificity of this selector?</t>
  </si>
  <si>
    <t xml:space="preserve">Counts ids, classes, elements correctly</t>
  </si>
  <si>
    <t xml:space="preserve">Accessibility</t>
  </si>
  <si>
    <t xml:space="preserve">Show me the alt text on this image and explain your choice</t>
  </si>
  <si>
    <t xml:space="preserve">Distinguishes informative from decorative</t>
  </si>
  <si>
    <t xml:space="preserve">Tab to this button. What happens, and why?</t>
  </si>
  <si>
    <t xml:space="preserve">Focus is visible and they know which rule provides it</t>
  </si>
  <si>
    <t xml:space="preserve">How did you check the contrast on this text?</t>
  </si>
  <si>
    <t xml:space="preserve">Has actually used the DevTools contrast readout</t>
  </si>
  <si>
    <t xml:space="preserve">Git</t>
  </si>
  <si>
    <t xml:space="preserve">Walk me through your commit history</t>
  </si>
  <si>
    <t xml:space="preserve">Commits map to real units of work</t>
  </si>
  <si>
    <t xml:space="preserve">Debugging</t>
  </si>
  <si>
    <t xml:space="preserve">If this section overflowed on a phone, where would you look first?</t>
  </si>
  <si>
    <t xml:space="preserve">Names a fixed width or a missing wrap, not 'I would google it'</t>
  </si>
  <si>
    <t xml:space="preserve">Live modification tasks — pick one that fits the student's page</t>
  </si>
  <si>
    <t xml:space="preserve">Two minutes maximum. The student is marked on knowing WHERE to look, not on speed.</t>
  </si>
  <si>
    <t xml:space="preserve">Task</t>
  </si>
  <si>
    <t xml:space="preserve">Needs</t>
  </si>
  <si>
    <t xml:space="preserve">Pass looks like</t>
  </si>
  <si>
    <t xml:space="preserve">Make this card row stack on a phone</t>
  </si>
  <si>
    <t xml:space="preserve">Flexbox used</t>
  </si>
  <si>
    <t xml:space="preserve">Finds the flex container, changes direction or removes the row</t>
  </si>
  <si>
    <t xml:space="preserve">Change the heading colour and keep contrast passing</t>
  </si>
  <si>
    <t xml:space="preserve">Any page</t>
  </si>
  <si>
    <t xml:space="preserve">Edits the right rule and checks the contrast readout</t>
  </si>
  <si>
    <t xml:space="preserve">Add a visible focus outline to this button</t>
  </si>
  <si>
    <t xml:space="preserve">Adds a :focus rule rather than restyling :hover</t>
  </si>
  <si>
    <t xml:space="preserve">Add one more card to the gallery</t>
  </si>
  <si>
    <t xml:space="preserve">Grid or card row used</t>
  </si>
  <si>
    <t xml:space="preserve">Copies the markup; layout absorbs it without a CSS change</t>
  </si>
  <si>
    <t xml:space="preserve">Make this section full width instead of contained</t>
  </si>
  <si>
    <t xml:space="preserve">Container pattern used</t>
  </si>
  <si>
    <t xml:space="preserve">Finds the max-width rule on the container</t>
  </si>
  <si>
    <t xml:space="preserve">Swap the nav links to the other side of the header</t>
  </si>
  <si>
    <t xml:space="preserve">Flexbox header</t>
  </si>
  <si>
    <t xml:space="preserve">Changes justify-content or the source order</t>
  </si>
  <si>
    <t xml:space="preserve">Increase the gap between the cards</t>
  </si>
  <si>
    <t xml:space="preserve">gap used</t>
  </si>
  <si>
    <t xml:space="preserve">Edits gap, not margins on the items</t>
  </si>
  <si>
    <t xml:space="preserve">Make the table rows striped</t>
  </si>
  <si>
    <t xml:space="preserve">A table present</t>
  </si>
  <si>
    <t xml:space="preserve">Reaches for :nth-child rather than editing each row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</si>
</sst>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66"/>
      <name val="Arial"/>
      <family val="0"/>
      <charset val="1"/>
    </font>
    <font>
      <i val="true"/>
      <sz val="10"/>
      <color rgb="FF6B7A88"/>
      <name val="Arial"/>
      <family val="0"/>
      <charset val="1"/>
    </font>
    <font>
      <sz val="9"/>
      <color rgb="FF8A5A0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CC"/>
        <bgColor rgb="FFFDF3E1"/>
      </patternFill>
    </fill>
    <fill>
      <patternFill patternType="solid">
        <fgColor rgb="FFE8EEF4"/>
        <bgColor rgb="FFFDF3E1"/>
      </patternFill>
    </fill>
    <fill>
      <patternFill patternType="solid">
        <fgColor rgb="FFFDF3E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5"/>
      <rgbColor rgb="FF800080"/>
      <rgbColor rgb="FF008080"/>
      <rgbColor rgb="FFC0C0C0"/>
      <rgbColor rgb="FF6B7A88"/>
      <rgbColor rgb="FF9999FF"/>
      <rgbColor rgb="FF993366"/>
      <rgbColor rgb="FFFFFFCC"/>
      <rgbColor rgb="FFE8EEF4"/>
      <rgbColor rgb="FF660066"/>
      <rgbColor rgb="FFFF8080"/>
      <rgbColor rgb="FF0066CC"/>
      <rgbColor rgb="FFD6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3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5" min="4" style="0" width="30"/>
    <col collapsed="false" customWidth="true" hidden="false" outlineLevel="0" max="9" min="6" style="0" width="11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3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customFormat="false" ht="31.5" hidden="false" customHeight="true" outlineLevel="0" collapsed="false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</row>
    <row r="8" customFormat="false" ht="23.85" hidden="false" customHeight="false" outlineLevel="0" collapsed="false">
      <c r="A8" s="5" t="n">
        <v>1</v>
      </c>
      <c r="B8" s="6" t="s">
        <v>17</v>
      </c>
      <c r="C8" s="6" t="s">
        <v>18</v>
      </c>
      <c r="D8" s="6" t="s">
        <v>19</v>
      </c>
      <c r="E8" s="6" t="s">
        <v>20</v>
      </c>
      <c r="F8" s="7" t="n">
        <v>1.8</v>
      </c>
      <c r="G8" s="7" t="n">
        <v>1</v>
      </c>
      <c r="H8" s="7" t="n">
        <v>0.6</v>
      </c>
      <c r="I8" s="7" t="n">
        <v>0.5</v>
      </c>
      <c r="J8" s="7" t="n">
        <v>0.4</v>
      </c>
      <c r="K8" s="8" t="n">
        <f aca="false">IF(COUNT(F8:J8)=0,"",SUM(F8:J8))</f>
        <v>4.3</v>
      </c>
      <c r="L8" s="9" t="s">
        <v>21</v>
      </c>
      <c r="M8" s="9" t="s">
        <v>22</v>
      </c>
      <c r="N8" s="6" t="s">
        <v>23</v>
      </c>
    </row>
    <row r="9" customFormat="false" ht="15" hidden="false" customHeight="false" outlineLevel="0" collapsed="false">
      <c r="A9" s="5" t="n">
        <v>2</v>
      </c>
      <c r="B9" s="6"/>
      <c r="C9" s="6"/>
      <c r="D9" s="6"/>
      <c r="E9" s="6"/>
      <c r="F9" s="7"/>
      <c r="G9" s="7"/>
      <c r="H9" s="7"/>
      <c r="I9" s="7"/>
      <c r="J9" s="7"/>
      <c r="K9" s="8" t="str">
        <f aca="false">IF(COUNT(F9:J9)=0,"",SUM(F9:J9))</f>
        <v/>
      </c>
      <c r="L9" s="9"/>
      <c r="M9" s="9"/>
      <c r="N9" s="6"/>
    </row>
    <row r="10" customFormat="false" ht="15" hidden="false" customHeight="false" outlineLevel="0" collapsed="false">
      <c r="A10" s="5" t="n">
        <v>3</v>
      </c>
      <c r="B10" s="6"/>
      <c r="C10" s="6"/>
      <c r="D10" s="6"/>
      <c r="E10" s="6"/>
      <c r="F10" s="7"/>
      <c r="G10" s="7"/>
      <c r="H10" s="7"/>
      <c r="I10" s="7"/>
      <c r="J10" s="7"/>
      <c r="K10" s="8" t="str">
        <f aca="false">IF(COUNT(F10:J10)=0,"",SUM(F10:J10))</f>
        <v/>
      </c>
      <c r="L10" s="9"/>
      <c r="M10" s="9"/>
      <c r="N10" s="6"/>
    </row>
    <row r="11" customFormat="false" ht="15" hidden="false" customHeight="false" outlineLevel="0" collapsed="false">
      <c r="A11" s="5" t="n">
        <v>4</v>
      </c>
      <c r="B11" s="6"/>
      <c r="C11" s="6"/>
      <c r="D11" s="6"/>
      <c r="E11" s="6"/>
      <c r="F11" s="7"/>
      <c r="G11" s="7"/>
      <c r="H11" s="7"/>
      <c r="I11" s="7"/>
      <c r="J11" s="7"/>
      <c r="K11" s="8" t="str">
        <f aca="false">IF(COUNT(F11:J11)=0,"",SUM(F11:J11))</f>
        <v/>
      </c>
      <c r="L11" s="9"/>
      <c r="M11" s="9"/>
      <c r="N11" s="6"/>
    </row>
    <row r="12" customFormat="false" ht="15" hidden="false" customHeight="false" outlineLevel="0" collapsed="false">
      <c r="A12" s="5" t="n">
        <v>5</v>
      </c>
      <c r="B12" s="6"/>
      <c r="C12" s="6"/>
      <c r="D12" s="6"/>
      <c r="E12" s="6"/>
      <c r="F12" s="7"/>
      <c r="G12" s="7"/>
      <c r="H12" s="7"/>
      <c r="I12" s="7"/>
      <c r="J12" s="7"/>
      <c r="K12" s="8" t="str">
        <f aca="false">IF(COUNT(F12:J12)=0,"",SUM(F12:J12))</f>
        <v/>
      </c>
      <c r="L12" s="9"/>
      <c r="M12" s="9"/>
      <c r="N12" s="6"/>
    </row>
    <row r="13" customFormat="false" ht="15" hidden="false" customHeight="false" outlineLevel="0" collapsed="false">
      <c r="A13" s="5" t="n">
        <v>6</v>
      </c>
      <c r="B13" s="6"/>
      <c r="C13" s="6"/>
      <c r="D13" s="6"/>
      <c r="E13" s="6"/>
      <c r="F13" s="7"/>
      <c r="G13" s="7"/>
      <c r="H13" s="7"/>
      <c r="I13" s="7"/>
      <c r="J13" s="7"/>
      <c r="K13" s="8" t="str">
        <f aca="false">IF(COUNT(F13:J13)=0,"",SUM(F13:J13))</f>
        <v/>
      </c>
      <c r="L13" s="9"/>
      <c r="M13" s="9"/>
      <c r="N13" s="6"/>
    </row>
    <row r="14" customFormat="false" ht="15" hidden="false" customHeight="false" outlineLevel="0" collapsed="false">
      <c r="A14" s="5" t="n">
        <v>7</v>
      </c>
      <c r="B14" s="6"/>
      <c r="C14" s="6"/>
      <c r="D14" s="6"/>
      <c r="E14" s="6"/>
      <c r="F14" s="7"/>
      <c r="G14" s="7"/>
      <c r="H14" s="7"/>
      <c r="I14" s="7"/>
      <c r="J14" s="7"/>
      <c r="K14" s="8" t="str">
        <f aca="false">IF(COUNT(F14:J14)=0,"",SUM(F14:J14))</f>
        <v/>
      </c>
      <c r="L14" s="9"/>
      <c r="M14" s="9"/>
      <c r="N14" s="6"/>
    </row>
    <row r="15" customFormat="false" ht="15" hidden="false" customHeight="false" outlineLevel="0" collapsed="false">
      <c r="A15" s="5" t="n">
        <v>8</v>
      </c>
      <c r="B15" s="6"/>
      <c r="C15" s="6"/>
      <c r="D15" s="6"/>
      <c r="E15" s="6"/>
      <c r="F15" s="7"/>
      <c r="G15" s="7"/>
      <c r="H15" s="7"/>
      <c r="I15" s="7"/>
      <c r="J15" s="7"/>
      <c r="K15" s="8" t="str">
        <f aca="false">IF(COUNT(F15:J15)=0,"",SUM(F15:J15))</f>
        <v/>
      </c>
      <c r="L15" s="9"/>
      <c r="M15" s="9"/>
      <c r="N15" s="6"/>
    </row>
    <row r="16" customFormat="false" ht="15" hidden="false" customHeight="false" outlineLevel="0" collapsed="false">
      <c r="A16" s="5" t="n">
        <v>9</v>
      </c>
      <c r="B16" s="6"/>
      <c r="C16" s="6"/>
      <c r="D16" s="6"/>
      <c r="E16" s="6"/>
      <c r="F16" s="7"/>
      <c r="G16" s="7"/>
      <c r="H16" s="7"/>
      <c r="I16" s="7"/>
      <c r="J16" s="7"/>
      <c r="K16" s="8" t="str">
        <f aca="false">IF(COUNT(F16:J16)=0,"",SUM(F16:J16))</f>
        <v/>
      </c>
      <c r="L16" s="9"/>
      <c r="M16" s="9"/>
      <c r="N16" s="6"/>
    </row>
    <row r="17" customFormat="false" ht="15" hidden="false" customHeight="false" outlineLevel="0" collapsed="false">
      <c r="A17" s="5" t="n">
        <v>10</v>
      </c>
      <c r="B17" s="6"/>
      <c r="C17" s="6"/>
      <c r="D17" s="6"/>
      <c r="E17" s="6"/>
      <c r="F17" s="7"/>
      <c r="G17" s="7"/>
      <c r="H17" s="7"/>
      <c r="I17" s="7"/>
      <c r="J17" s="7"/>
      <c r="K17" s="8" t="str">
        <f aca="false">IF(COUNT(F17:J17)=0,"",SUM(F17:J17))</f>
        <v/>
      </c>
      <c r="L17" s="9"/>
      <c r="M17" s="9"/>
      <c r="N17" s="6"/>
    </row>
    <row r="18" customFormat="false" ht="15" hidden="false" customHeight="false" outlineLevel="0" collapsed="false">
      <c r="A18" s="5" t="n">
        <v>11</v>
      </c>
      <c r="B18" s="6"/>
      <c r="C18" s="6"/>
      <c r="D18" s="6"/>
      <c r="E18" s="6"/>
      <c r="F18" s="7"/>
      <c r="G18" s="7"/>
      <c r="H18" s="7"/>
      <c r="I18" s="7"/>
      <c r="J18" s="7"/>
      <c r="K18" s="8" t="str">
        <f aca="false">IF(COUNT(F18:J18)=0,"",SUM(F18:J18))</f>
        <v/>
      </c>
      <c r="L18" s="9"/>
      <c r="M18" s="9"/>
      <c r="N18" s="6"/>
    </row>
    <row r="19" customFormat="false" ht="15" hidden="false" customHeight="false" outlineLevel="0" collapsed="false">
      <c r="A19" s="5" t="n">
        <v>12</v>
      </c>
      <c r="B19" s="6"/>
      <c r="C19" s="6"/>
      <c r="D19" s="6"/>
      <c r="E19" s="6"/>
      <c r="F19" s="7"/>
      <c r="G19" s="7"/>
      <c r="H19" s="7"/>
      <c r="I19" s="7"/>
      <c r="J19" s="7"/>
      <c r="K19" s="8" t="str">
        <f aca="false">IF(COUNT(F19:J19)=0,"",SUM(F19:J19))</f>
        <v/>
      </c>
      <c r="L19" s="9"/>
      <c r="M19" s="9"/>
      <c r="N19" s="6"/>
    </row>
    <row r="20" customFormat="false" ht="15" hidden="false" customHeight="false" outlineLevel="0" collapsed="false">
      <c r="A20" s="5" t="n">
        <v>13</v>
      </c>
      <c r="B20" s="6"/>
      <c r="C20" s="6"/>
      <c r="D20" s="6"/>
      <c r="E20" s="6"/>
      <c r="F20" s="7"/>
      <c r="G20" s="7"/>
      <c r="H20" s="7"/>
      <c r="I20" s="7"/>
      <c r="J20" s="7"/>
      <c r="K20" s="8" t="str">
        <f aca="false">IF(COUNT(F20:J20)=0,"",SUM(F20:J20))</f>
        <v/>
      </c>
      <c r="L20" s="9"/>
      <c r="M20" s="9"/>
      <c r="N20" s="6"/>
    </row>
    <row r="21" customFormat="false" ht="15" hidden="false" customHeight="false" outlineLevel="0" collapsed="false">
      <c r="A21" s="5" t="n">
        <v>14</v>
      </c>
      <c r="B21" s="6"/>
      <c r="C21" s="6"/>
      <c r="D21" s="6"/>
      <c r="E21" s="6"/>
      <c r="F21" s="7"/>
      <c r="G21" s="7"/>
      <c r="H21" s="7"/>
      <c r="I21" s="7"/>
      <c r="J21" s="7"/>
      <c r="K21" s="8" t="str">
        <f aca="false">IF(COUNT(F21:J21)=0,"",SUM(F21:J21))</f>
        <v/>
      </c>
      <c r="L21" s="9"/>
      <c r="M21" s="9"/>
      <c r="N21" s="6"/>
    </row>
    <row r="22" customFormat="false" ht="15" hidden="false" customHeight="false" outlineLevel="0" collapsed="false">
      <c r="A22" s="5" t="n">
        <v>15</v>
      </c>
      <c r="B22" s="6"/>
      <c r="C22" s="6"/>
      <c r="D22" s="6"/>
      <c r="E22" s="6"/>
      <c r="F22" s="7"/>
      <c r="G22" s="7"/>
      <c r="H22" s="7"/>
      <c r="I22" s="7"/>
      <c r="J22" s="7"/>
      <c r="K22" s="8" t="str">
        <f aca="false">IF(COUNT(F22:J22)=0,"",SUM(F22:J22))</f>
        <v/>
      </c>
      <c r="L22" s="9"/>
      <c r="M22" s="9"/>
      <c r="N22" s="6"/>
    </row>
    <row r="23" customFormat="false" ht="15" hidden="false" customHeight="false" outlineLevel="0" collapsed="false">
      <c r="A23" s="5" t="n">
        <v>16</v>
      </c>
      <c r="B23" s="6"/>
      <c r="C23" s="6"/>
      <c r="D23" s="6"/>
      <c r="E23" s="6"/>
      <c r="F23" s="7"/>
      <c r="G23" s="7"/>
      <c r="H23" s="7"/>
      <c r="I23" s="7"/>
      <c r="J23" s="7"/>
      <c r="K23" s="8" t="str">
        <f aca="false">IF(COUNT(F23:J23)=0,"",SUM(F23:J23))</f>
        <v/>
      </c>
      <c r="L23" s="9"/>
      <c r="M23" s="9"/>
      <c r="N23" s="6"/>
    </row>
    <row r="24" customFormat="false" ht="15" hidden="false" customHeight="false" outlineLevel="0" collapsed="false">
      <c r="A24" s="5" t="n">
        <v>17</v>
      </c>
      <c r="B24" s="6"/>
      <c r="C24" s="6"/>
      <c r="D24" s="6"/>
      <c r="E24" s="6"/>
      <c r="F24" s="7"/>
      <c r="G24" s="7"/>
      <c r="H24" s="7"/>
      <c r="I24" s="7"/>
      <c r="J24" s="7"/>
      <c r="K24" s="8" t="str">
        <f aca="false">IF(COUNT(F24:J24)=0,"",SUM(F24:J24))</f>
        <v/>
      </c>
      <c r="L24" s="9"/>
      <c r="M24" s="9"/>
      <c r="N24" s="6"/>
    </row>
    <row r="25" customFormat="false" ht="15" hidden="false" customHeight="false" outlineLevel="0" collapsed="false">
      <c r="A25" s="5" t="n">
        <v>18</v>
      </c>
      <c r="B25" s="6"/>
      <c r="C25" s="6"/>
      <c r="D25" s="6"/>
      <c r="E25" s="6"/>
      <c r="F25" s="7"/>
      <c r="G25" s="7"/>
      <c r="H25" s="7"/>
      <c r="I25" s="7"/>
      <c r="J25" s="7"/>
      <c r="K25" s="8" t="str">
        <f aca="false">IF(COUNT(F25:J25)=0,"",SUM(F25:J25))</f>
        <v/>
      </c>
      <c r="L25" s="9"/>
      <c r="M25" s="9"/>
      <c r="N25" s="6"/>
    </row>
    <row r="26" customFormat="false" ht="15" hidden="false" customHeight="false" outlineLevel="0" collapsed="false">
      <c r="A26" s="5" t="n">
        <v>19</v>
      </c>
      <c r="B26" s="6"/>
      <c r="C26" s="6"/>
      <c r="D26" s="6"/>
      <c r="E26" s="6"/>
      <c r="F26" s="7"/>
      <c r="G26" s="7"/>
      <c r="H26" s="7"/>
      <c r="I26" s="7"/>
      <c r="J26" s="7"/>
      <c r="K26" s="8" t="str">
        <f aca="false">IF(COUNT(F26:J26)=0,"",SUM(F26:J26))</f>
        <v/>
      </c>
      <c r="L26" s="9"/>
      <c r="M26" s="9"/>
      <c r="N26" s="6"/>
    </row>
    <row r="27" customFormat="false" ht="15" hidden="false" customHeight="false" outlineLevel="0" collapsed="false">
      <c r="A27" s="5" t="n">
        <v>20</v>
      </c>
      <c r="B27" s="6"/>
      <c r="C27" s="6"/>
      <c r="D27" s="6"/>
      <c r="E27" s="6"/>
      <c r="F27" s="7"/>
      <c r="G27" s="7"/>
      <c r="H27" s="7"/>
      <c r="I27" s="7"/>
      <c r="J27" s="7"/>
      <c r="K27" s="8" t="str">
        <f aca="false">IF(COUNT(F27:J27)=0,"",SUM(F27:J27))</f>
        <v/>
      </c>
      <c r="L27" s="9"/>
      <c r="M27" s="9"/>
      <c r="N27" s="6"/>
    </row>
    <row r="28" customFormat="false" ht="15" hidden="false" customHeight="false" outlineLevel="0" collapsed="false">
      <c r="A28" s="5" t="n">
        <v>21</v>
      </c>
      <c r="B28" s="6"/>
      <c r="C28" s="6"/>
      <c r="D28" s="6"/>
      <c r="E28" s="6"/>
      <c r="F28" s="7"/>
      <c r="G28" s="7"/>
      <c r="H28" s="7"/>
      <c r="I28" s="7"/>
      <c r="J28" s="7"/>
      <c r="K28" s="8" t="str">
        <f aca="false">IF(COUNT(F28:J28)=0,"",SUM(F28:J28))</f>
        <v/>
      </c>
      <c r="L28" s="9"/>
      <c r="M28" s="9"/>
      <c r="N28" s="6"/>
    </row>
    <row r="29" customFormat="false" ht="15" hidden="false" customHeight="false" outlineLevel="0" collapsed="false">
      <c r="A29" s="5" t="n">
        <v>22</v>
      </c>
      <c r="B29" s="6"/>
      <c r="C29" s="6"/>
      <c r="D29" s="6"/>
      <c r="E29" s="6"/>
      <c r="F29" s="7"/>
      <c r="G29" s="7"/>
      <c r="H29" s="7"/>
      <c r="I29" s="7"/>
      <c r="J29" s="7"/>
      <c r="K29" s="8" t="str">
        <f aca="false">IF(COUNT(F29:J29)=0,"",SUM(F29:J29))</f>
        <v/>
      </c>
      <c r="L29" s="9"/>
      <c r="M29" s="9"/>
      <c r="N29" s="6"/>
    </row>
    <row r="30" customFormat="false" ht="15" hidden="false" customHeight="false" outlineLevel="0" collapsed="false">
      <c r="A30" s="5" t="n">
        <v>23</v>
      </c>
      <c r="B30" s="6"/>
      <c r="C30" s="6"/>
      <c r="D30" s="6"/>
      <c r="E30" s="6"/>
      <c r="F30" s="7"/>
      <c r="G30" s="7"/>
      <c r="H30" s="7"/>
      <c r="I30" s="7"/>
      <c r="J30" s="7"/>
      <c r="K30" s="8" t="str">
        <f aca="false">IF(COUNT(F30:J30)=0,"",SUM(F30:J30))</f>
        <v/>
      </c>
      <c r="L30" s="9"/>
      <c r="M30" s="9"/>
      <c r="N30" s="6"/>
    </row>
    <row r="31" customFormat="false" ht="15" hidden="false" customHeight="false" outlineLevel="0" collapsed="false">
      <c r="A31" s="5" t="n">
        <v>24</v>
      </c>
      <c r="B31" s="6"/>
      <c r="C31" s="6"/>
      <c r="D31" s="6"/>
      <c r="E31" s="6"/>
      <c r="F31" s="7"/>
      <c r="G31" s="7"/>
      <c r="H31" s="7"/>
      <c r="I31" s="7"/>
      <c r="J31" s="7"/>
      <c r="K31" s="8" t="str">
        <f aca="false">IF(COUNT(F31:J31)=0,"",SUM(F31:J31))</f>
        <v/>
      </c>
      <c r="L31" s="9"/>
      <c r="M31" s="9"/>
      <c r="N31" s="6"/>
    </row>
    <row r="32" customFormat="false" ht="15" hidden="false" customHeight="false" outlineLevel="0" collapsed="false">
      <c r="A32" s="5" t="n">
        <v>25</v>
      </c>
      <c r="B32" s="6"/>
      <c r="C32" s="6"/>
      <c r="D32" s="6"/>
      <c r="E32" s="6"/>
      <c r="F32" s="7"/>
      <c r="G32" s="7"/>
      <c r="H32" s="7"/>
      <c r="I32" s="7"/>
      <c r="J32" s="7"/>
      <c r="K32" s="8" t="str">
        <f aca="false">IF(COUNT(F32:J32)=0,"",SUM(F32:J32))</f>
        <v/>
      </c>
      <c r="L32" s="9"/>
      <c r="M32" s="9"/>
      <c r="N32" s="6"/>
    </row>
    <row r="33" customFormat="false" ht="15" hidden="false" customHeight="false" outlineLevel="0" collapsed="false">
      <c r="A33" s="5" t="n">
        <v>26</v>
      </c>
      <c r="B33" s="6"/>
      <c r="C33" s="6"/>
      <c r="D33" s="6"/>
      <c r="E33" s="6"/>
      <c r="F33" s="7"/>
      <c r="G33" s="7"/>
      <c r="H33" s="7"/>
      <c r="I33" s="7"/>
      <c r="J33" s="7"/>
      <c r="K33" s="8" t="str">
        <f aca="false">IF(COUNT(F33:J33)=0,"",SUM(F33:J33))</f>
        <v/>
      </c>
      <c r="L33" s="9"/>
      <c r="M33" s="9"/>
      <c r="N33" s="6"/>
    </row>
    <row r="34" customFormat="false" ht="15" hidden="false" customHeight="false" outlineLevel="0" collapsed="false">
      <c r="A34" s="5" t="n">
        <v>27</v>
      </c>
      <c r="B34" s="6"/>
      <c r="C34" s="6"/>
      <c r="D34" s="6"/>
      <c r="E34" s="6"/>
      <c r="F34" s="7"/>
      <c r="G34" s="7"/>
      <c r="H34" s="7"/>
      <c r="I34" s="7"/>
      <c r="J34" s="7"/>
      <c r="K34" s="8" t="str">
        <f aca="false">IF(COUNT(F34:J34)=0,"",SUM(F34:J34))</f>
        <v/>
      </c>
      <c r="L34" s="9"/>
      <c r="M34" s="9"/>
      <c r="N34" s="6"/>
    </row>
    <row r="35" customFormat="false" ht="15" hidden="false" customHeight="false" outlineLevel="0" collapsed="false">
      <c r="A35" s="5" t="n">
        <v>28</v>
      </c>
      <c r="B35" s="6"/>
      <c r="C35" s="6"/>
      <c r="D35" s="6"/>
      <c r="E35" s="6"/>
      <c r="F35" s="7"/>
      <c r="G35" s="7"/>
      <c r="H35" s="7"/>
      <c r="I35" s="7"/>
      <c r="J35" s="7"/>
      <c r="K35" s="8" t="str">
        <f aca="false">IF(COUNT(F35:J35)=0,"",SUM(F35:J35))</f>
        <v/>
      </c>
      <c r="L35" s="9"/>
      <c r="M35" s="9"/>
      <c r="N35" s="6"/>
    </row>
    <row r="36" customFormat="false" ht="15" hidden="false" customHeight="false" outlineLevel="0" collapsed="false">
      <c r="A36" s="5" t="n">
        <v>29</v>
      </c>
      <c r="B36" s="6"/>
      <c r="C36" s="6"/>
      <c r="D36" s="6"/>
      <c r="E36" s="6"/>
      <c r="F36" s="7"/>
      <c r="G36" s="7"/>
      <c r="H36" s="7"/>
      <c r="I36" s="7"/>
      <c r="J36" s="7"/>
      <c r="K36" s="8" t="str">
        <f aca="false">IF(COUNT(F36:J36)=0,"",SUM(F36:J36))</f>
        <v/>
      </c>
      <c r="L36" s="9"/>
      <c r="M36" s="9"/>
      <c r="N36" s="6"/>
    </row>
    <row r="37" customFormat="false" ht="15" hidden="false" customHeight="false" outlineLevel="0" collapsed="false">
      <c r="A37" s="5" t="n">
        <v>30</v>
      </c>
      <c r="B37" s="6"/>
      <c r="C37" s="6"/>
      <c r="D37" s="6"/>
      <c r="E37" s="6"/>
      <c r="F37" s="7"/>
      <c r="G37" s="7"/>
      <c r="H37" s="7"/>
      <c r="I37" s="7"/>
      <c r="J37" s="7"/>
      <c r="K37" s="8" t="str">
        <f aca="false">IF(COUNT(F37:J37)=0,"",SUM(F37:J37))</f>
        <v/>
      </c>
      <c r="L37" s="9"/>
      <c r="M37" s="9"/>
      <c r="N37" s="6"/>
    </row>
    <row r="38" customFormat="false" ht="15" hidden="false" customHeight="false" outlineLevel="0" collapsed="false">
      <c r="A38" s="5" t="n">
        <v>31</v>
      </c>
      <c r="B38" s="6"/>
      <c r="C38" s="6"/>
      <c r="D38" s="6"/>
      <c r="E38" s="6"/>
      <c r="F38" s="7"/>
      <c r="G38" s="7"/>
      <c r="H38" s="7"/>
      <c r="I38" s="7"/>
      <c r="J38" s="7"/>
      <c r="K38" s="8" t="str">
        <f aca="false">IF(COUNT(F38:J38)=0,"",SUM(F38:J38))</f>
        <v/>
      </c>
      <c r="L38" s="9"/>
      <c r="M38" s="9"/>
      <c r="N38" s="6"/>
    </row>
    <row r="39" customFormat="false" ht="15" hidden="false" customHeight="false" outlineLevel="0" collapsed="false">
      <c r="A39" s="5" t="n">
        <v>32</v>
      </c>
      <c r="B39" s="6"/>
      <c r="C39" s="6"/>
      <c r="D39" s="6"/>
      <c r="E39" s="6"/>
      <c r="F39" s="7"/>
      <c r="G39" s="7"/>
      <c r="H39" s="7"/>
      <c r="I39" s="7"/>
      <c r="J39" s="7"/>
      <c r="K39" s="8" t="str">
        <f aca="false">IF(COUNT(F39:J39)=0,"",SUM(F39:J39))</f>
        <v/>
      </c>
      <c r="L39" s="9"/>
      <c r="M39" s="9"/>
      <c r="N39" s="6"/>
    </row>
    <row r="40" customFormat="false" ht="15" hidden="false" customHeight="false" outlineLevel="0" collapsed="false">
      <c r="A40" s="5" t="n">
        <v>33</v>
      </c>
      <c r="B40" s="6"/>
      <c r="C40" s="6"/>
      <c r="D40" s="6"/>
      <c r="E40" s="6"/>
      <c r="F40" s="7"/>
      <c r="G40" s="7"/>
      <c r="H40" s="7"/>
      <c r="I40" s="7"/>
      <c r="J40" s="7"/>
      <c r="K40" s="8" t="str">
        <f aca="false">IF(COUNT(F40:J40)=0,"",SUM(F40:J40))</f>
        <v/>
      </c>
      <c r="L40" s="9"/>
      <c r="M40" s="9"/>
      <c r="N40" s="6"/>
    </row>
    <row r="41" customFormat="false" ht="15" hidden="false" customHeight="false" outlineLevel="0" collapsed="false">
      <c r="A41" s="5" t="n">
        <v>34</v>
      </c>
      <c r="B41" s="6"/>
      <c r="C41" s="6"/>
      <c r="D41" s="6"/>
      <c r="E41" s="6"/>
      <c r="F41" s="7"/>
      <c r="G41" s="7"/>
      <c r="H41" s="7"/>
      <c r="I41" s="7"/>
      <c r="J41" s="7"/>
      <c r="K41" s="8" t="str">
        <f aca="false">IF(COUNT(F41:J41)=0,"",SUM(F41:J41))</f>
        <v/>
      </c>
      <c r="L41" s="9"/>
      <c r="M41" s="9"/>
      <c r="N41" s="6"/>
    </row>
    <row r="42" customFormat="false" ht="15" hidden="false" customHeight="false" outlineLevel="0" collapsed="false">
      <c r="A42" s="5" t="n">
        <v>35</v>
      </c>
      <c r="B42" s="6"/>
      <c r="C42" s="6"/>
      <c r="D42" s="6"/>
      <c r="E42" s="6"/>
      <c r="F42" s="7"/>
      <c r="G42" s="7"/>
      <c r="H42" s="7"/>
      <c r="I42" s="7"/>
      <c r="J42" s="7"/>
      <c r="K42" s="8" t="str">
        <f aca="false">IF(COUNT(F42:J42)=0,"",SUM(F42:J42))</f>
        <v/>
      </c>
      <c r="L42" s="9"/>
      <c r="M42" s="9"/>
      <c r="N42" s="6"/>
    </row>
    <row r="43" customFormat="false" ht="15" hidden="false" customHeight="false" outlineLevel="0" collapsed="false">
      <c r="A43" s="5" t="n">
        <v>36</v>
      </c>
      <c r="B43" s="6"/>
      <c r="C43" s="6"/>
      <c r="D43" s="6"/>
      <c r="E43" s="6"/>
      <c r="F43" s="7"/>
      <c r="G43" s="7"/>
      <c r="H43" s="7"/>
      <c r="I43" s="7"/>
      <c r="J43" s="7"/>
      <c r="K43" s="8" t="str">
        <f aca="false">IF(COUNT(F43:J43)=0,"",SUM(F43:J43))</f>
        <v/>
      </c>
      <c r="L43" s="9"/>
      <c r="M43" s="9"/>
      <c r="N43" s="6"/>
    </row>
    <row r="44" customFormat="false" ht="15" hidden="false" customHeight="false" outlineLevel="0" collapsed="false">
      <c r="A44" s="5" t="n">
        <v>37</v>
      </c>
      <c r="B44" s="6"/>
      <c r="C44" s="6"/>
      <c r="D44" s="6"/>
      <c r="E44" s="6"/>
      <c r="F44" s="7"/>
      <c r="G44" s="7"/>
      <c r="H44" s="7"/>
      <c r="I44" s="7"/>
      <c r="J44" s="7"/>
      <c r="K44" s="8" t="str">
        <f aca="false">IF(COUNT(F44:J44)=0,"",SUM(F44:J44))</f>
        <v/>
      </c>
      <c r="L44" s="9"/>
      <c r="M44" s="9"/>
      <c r="N44" s="6"/>
    </row>
    <row r="45" customFormat="false" ht="15" hidden="false" customHeight="false" outlineLevel="0" collapsed="false">
      <c r="A45" s="5" t="n">
        <v>38</v>
      </c>
      <c r="B45" s="6"/>
      <c r="C45" s="6"/>
      <c r="D45" s="6"/>
      <c r="E45" s="6"/>
      <c r="F45" s="7"/>
      <c r="G45" s="7"/>
      <c r="H45" s="7"/>
      <c r="I45" s="7"/>
      <c r="J45" s="7"/>
      <c r="K45" s="8" t="str">
        <f aca="false">IF(COUNT(F45:J45)=0,"",SUM(F45:J45))</f>
        <v/>
      </c>
      <c r="L45" s="9"/>
      <c r="M45" s="9"/>
      <c r="N45" s="6"/>
    </row>
    <row r="46" customFormat="false" ht="15" hidden="false" customHeight="false" outlineLevel="0" collapsed="false">
      <c r="A46" s="5" t="n">
        <v>39</v>
      </c>
      <c r="B46" s="6"/>
      <c r="C46" s="6"/>
      <c r="D46" s="6"/>
      <c r="E46" s="6"/>
      <c r="F46" s="7"/>
      <c r="G46" s="7"/>
      <c r="H46" s="7"/>
      <c r="I46" s="7"/>
      <c r="J46" s="7"/>
      <c r="K46" s="8" t="str">
        <f aca="false">IF(COUNT(F46:J46)=0,"",SUM(F46:J46))</f>
        <v/>
      </c>
      <c r="L46" s="9"/>
      <c r="M46" s="9"/>
      <c r="N46" s="6"/>
    </row>
    <row r="47" customFormat="false" ht="15" hidden="false" customHeight="false" outlineLevel="0" collapsed="false">
      <c r="A47" s="5" t="n">
        <v>40</v>
      </c>
      <c r="B47" s="6"/>
      <c r="C47" s="6"/>
      <c r="D47" s="6"/>
      <c r="E47" s="6"/>
      <c r="F47" s="7"/>
      <c r="G47" s="7"/>
      <c r="H47" s="7"/>
      <c r="I47" s="7"/>
      <c r="J47" s="7"/>
      <c r="K47" s="8" t="str">
        <f aca="false">IF(COUNT(F47:J47)=0,"",SUM(F47:J47))</f>
        <v/>
      </c>
      <c r="L47" s="9"/>
      <c r="M47" s="9"/>
      <c r="N47" s="6"/>
    </row>
    <row r="48" customFormat="false" ht="15" hidden="false" customHeight="false" outlineLevel="0" collapsed="false">
      <c r="A48" s="5" t="n">
        <v>41</v>
      </c>
      <c r="B48" s="6"/>
      <c r="C48" s="6"/>
      <c r="D48" s="6"/>
      <c r="E48" s="6"/>
      <c r="F48" s="7"/>
      <c r="G48" s="7"/>
      <c r="H48" s="7"/>
      <c r="I48" s="7"/>
      <c r="J48" s="7"/>
      <c r="K48" s="8" t="str">
        <f aca="false">IF(COUNT(F48:J48)=0,"",SUM(F48:J48))</f>
        <v/>
      </c>
      <c r="L48" s="9"/>
      <c r="M48" s="9"/>
      <c r="N48" s="6"/>
    </row>
    <row r="49" customFormat="false" ht="15" hidden="false" customHeight="false" outlineLevel="0" collapsed="false">
      <c r="A49" s="5" t="n">
        <v>42</v>
      </c>
      <c r="B49" s="6"/>
      <c r="C49" s="6"/>
      <c r="D49" s="6"/>
      <c r="E49" s="6"/>
      <c r="F49" s="7"/>
      <c r="G49" s="7"/>
      <c r="H49" s="7"/>
      <c r="I49" s="7"/>
      <c r="J49" s="7"/>
      <c r="K49" s="8" t="str">
        <f aca="false">IF(COUNT(F49:J49)=0,"",SUM(F49:J49))</f>
        <v/>
      </c>
      <c r="L49" s="9"/>
      <c r="M49" s="9"/>
      <c r="N49" s="6"/>
    </row>
    <row r="50" customFormat="false" ht="15" hidden="false" customHeight="false" outlineLevel="0" collapsed="false">
      <c r="A50" s="5" t="n">
        <v>43</v>
      </c>
      <c r="B50" s="6"/>
      <c r="C50" s="6"/>
      <c r="D50" s="6"/>
      <c r="E50" s="6"/>
      <c r="F50" s="7"/>
      <c r="G50" s="7"/>
      <c r="H50" s="7"/>
      <c r="I50" s="7"/>
      <c r="J50" s="7"/>
      <c r="K50" s="8" t="str">
        <f aca="false">IF(COUNT(F50:J50)=0,"",SUM(F50:J50))</f>
        <v/>
      </c>
      <c r="L50" s="9"/>
      <c r="M50" s="9"/>
      <c r="N50" s="6"/>
    </row>
    <row r="51" customFormat="false" ht="15" hidden="false" customHeight="false" outlineLevel="0" collapsed="false">
      <c r="A51" s="5" t="n">
        <v>44</v>
      </c>
      <c r="B51" s="6"/>
      <c r="C51" s="6"/>
      <c r="D51" s="6"/>
      <c r="E51" s="6"/>
      <c r="F51" s="7"/>
      <c r="G51" s="7"/>
      <c r="H51" s="7"/>
      <c r="I51" s="7"/>
      <c r="J51" s="7"/>
      <c r="K51" s="8" t="str">
        <f aca="false">IF(COUNT(F51:J51)=0,"",SUM(F51:J51))</f>
        <v/>
      </c>
      <c r="L51" s="9"/>
      <c r="M51" s="9"/>
      <c r="N51" s="6"/>
    </row>
    <row r="52" customFormat="false" ht="15" hidden="false" customHeight="false" outlineLevel="0" collapsed="false">
      <c r="A52" s="5" t="n">
        <v>45</v>
      </c>
      <c r="B52" s="6"/>
      <c r="C52" s="6"/>
      <c r="D52" s="6"/>
      <c r="E52" s="6"/>
      <c r="F52" s="7"/>
      <c r="G52" s="7"/>
      <c r="H52" s="7"/>
      <c r="I52" s="7"/>
      <c r="J52" s="7"/>
      <c r="K52" s="8" t="str">
        <f aca="false">IF(COUNT(F52:J52)=0,"",SUM(F52:J52))</f>
        <v/>
      </c>
      <c r="L52" s="9"/>
      <c r="M52" s="9"/>
      <c r="N52" s="6"/>
    </row>
    <row r="53" customFormat="false" ht="15" hidden="false" customHeight="false" outlineLevel="0" collapsed="false">
      <c r="A53" s="5" t="n">
        <v>46</v>
      </c>
      <c r="B53" s="6"/>
      <c r="C53" s="6"/>
      <c r="D53" s="6"/>
      <c r="E53" s="6"/>
      <c r="F53" s="7"/>
      <c r="G53" s="7"/>
      <c r="H53" s="7"/>
      <c r="I53" s="7"/>
      <c r="J53" s="7"/>
      <c r="K53" s="8" t="str">
        <f aca="false">IF(COUNT(F53:J53)=0,"",SUM(F53:J53))</f>
        <v/>
      </c>
      <c r="L53" s="9"/>
      <c r="M53" s="9"/>
      <c r="N53" s="6"/>
    </row>
    <row r="54" customFormat="false" ht="15" hidden="false" customHeight="false" outlineLevel="0" collapsed="false">
      <c r="A54" s="5" t="n">
        <v>47</v>
      </c>
      <c r="B54" s="6"/>
      <c r="C54" s="6"/>
      <c r="D54" s="6"/>
      <c r="E54" s="6"/>
      <c r="F54" s="7"/>
      <c r="G54" s="7"/>
      <c r="H54" s="7"/>
      <c r="I54" s="7"/>
      <c r="J54" s="7"/>
      <c r="K54" s="8" t="str">
        <f aca="false">IF(COUNT(F54:J54)=0,"",SUM(F54:J54))</f>
        <v/>
      </c>
      <c r="L54" s="9"/>
      <c r="M54" s="9"/>
      <c r="N54" s="6"/>
    </row>
    <row r="55" customFormat="false" ht="15" hidden="false" customHeight="false" outlineLevel="0" collapsed="false">
      <c r="A55" s="5" t="n">
        <v>48</v>
      </c>
      <c r="B55" s="6"/>
      <c r="C55" s="6"/>
      <c r="D55" s="6"/>
      <c r="E55" s="6"/>
      <c r="F55" s="7"/>
      <c r="G55" s="7"/>
      <c r="H55" s="7"/>
      <c r="I55" s="7"/>
      <c r="J55" s="7"/>
      <c r="K55" s="8" t="str">
        <f aca="false">IF(COUNT(F55:J55)=0,"",SUM(F55:J55))</f>
        <v/>
      </c>
      <c r="L55" s="9"/>
      <c r="M55" s="9"/>
      <c r="N55" s="6"/>
    </row>
    <row r="56" customFormat="false" ht="15" hidden="false" customHeight="false" outlineLevel="0" collapsed="false">
      <c r="A56" s="5" t="n">
        <v>49</v>
      </c>
      <c r="B56" s="6"/>
      <c r="C56" s="6"/>
      <c r="D56" s="6"/>
      <c r="E56" s="6"/>
      <c r="F56" s="7"/>
      <c r="G56" s="7"/>
      <c r="H56" s="7"/>
      <c r="I56" s="7"/>
      <c r="J56" s="7"/>
      <c r="K56" s="8" t="str">
        <f aca="false">IF(COUNT(F56:J56)=0,"",SUM(F56:J56))</f>
        <v/>
      </c>
      <c r="L56" s="9"/>
      <c r="M56" s="9"/>
      <c r="N56" s="6"/>
    </row>
    <row r="57" customFormat="false" ht="15" hidden="false" customHeight="false" outlineLevel="0" collapsed="false">
      <c r="A57" s="5" t="n">
        <v>50</v>
      </c>
      <c r="B57" s="6"/>
      <c r="C57" s="6"/>
      <c r="D57" s="6"/>
      <c r="E57" s="6"/>
      <c r="F57" s="7"/>
      <c r="G57" s="7"/>
      <c r="H57" s="7"/>
      <c r="I57" s="7"/>
      <c r="J57" s="7"/>
      <c r="K57" s="8" t="str">
        <f aca="false">IF(COUNT(F57:J57)=0,"",SUM(F57:J57))</f>
        <v/>
      </c>
      <c r="L57" s="9"/>
      <c r="M57" s="9"/>
      <c r="N57" s="6"/>
    </row>
    <row r="58" customFormat="false" ht="15" hidden="false" customHeight="false" outlineLevel="0" collapsed="false">
      <c r="A58" s="5" t="n">
        <v>51</v>
      </c>
      <c r="B58" s="6"/>
      <c r="C58" s="6"/>
      <c r="D58" s="6"/>
      <c r="E58" s="6"/>
      <c r="F58" s="7"/>
      <c r="G58" s="7"/>
      <c r="H58" s="7"/>
      <c r="I58" s="7"/>
      <c r="J58" s="7"/>
      <c r="K58" s="8" t="str">
        <f aca="false">IF(COUNT(F58:J58)=0,"",SUM(F58:J58))</f>
        <v/>
      </c>
      <c r="L58" s="9"/>
      <c r="M58" s="9"/>
      <c r="N58" s="6"/>
    </row>
    <row r="59" customFormat="false" ht="15" hidden="false" customHeight="false" outlineLevel="0" collapsed="false">
      <c r="A59" s="5" t="n">
        <v>52</v>
      </c>
      <c r="B59" s="6"/>
      <c r="C59" s="6"/>
      <c r="D59" s="6"/>
      <c r="E59" s="6"/>
      <c r="F59" s="7"/>
      <c r="G59" s="7"/>
      <c r="H59" s="7"/>
      <c r="I59" s="7"/>
      <c r="J59" s="7"/>
      <c r="K59" s="8" t="str">
        <f aca="false">IF(COUNT(F59:J59)=0,"",SUM(F59:J59))</f>
        <v/>
      </c>
      <c r="L59" s="9"/>
      <c r="M59" s="9"/>
      <c r="N59" s="6"/>
    </row>
    <row r="60" customFormat="false" ht="15" hidden="false" customHeight="false" outlineLevel="0" collapsed="false">
      <c r="A60" s="5" t="n">
        <v>53</v>
      </c>
      <c r="B60" s="6"/>
      <c r="C60" s="6"/>
      <c r="D60" s="6"/>
      <c r="E60" s="6"/>
      <c r="F60" s="7"/>
      <c r="G60" s="7"/>
      <c r="H60" s="7"/>
      <c r="I60" s="7"/>
      <c r="J60" s="7"/>
      <c r="K60" s="8" t="str">
        <f aca="false">IF(COUNT(F60:J60)=0,"",SUM(F60:J60))</f>
        <v/>
      </c>
      <c r="L60" s="9"/>
      <c r="M60" s="9"/>
      <c r="N60" s="6"/>
    </row>
    <row r="61" customFormat="false" ht="15" hidden="false" customHeight="false" outlineLevel="0" collapsed="false">
      <c r="A61" s="5" t="n">
        <v>54</v>
      </c>
      <c r="B61" s="6"/>
      <c r="C61" s="6"/>
      <c r="D61" s="6"/>
      <c r="E61" s="6"/>
      <c r="F61" s="7"/>
      <c r="G61" s="7"/>
      <c r="H61" s="7"/>
      <c r="I61" s="7"/>
      <c r="J61" s="7"/>
      <c r="K61" s="8" t="str">
        <f aca="false">IF(COUNT(F61:J61)=0,"",SUM(F61:J61))</f>
        <v/>
      </c>
      <c r="L61" s="9"/>
      <c r="M61" s="9"/>
      <c r="N61" s="6"/>
    </row>
    <row r="62" customFormat="false" ht="15" hidden="false" customHeight="false" outlineLevel="0" collapsed="false">
      <c r="A62" s="5" t="n">
        <v>55</v>
      </c>
      <c r="B62" s="6"/>
      <c r="C62" s="6"/>
      <c r="D62" s="6"/>
      <c r="E62" s="6"/>
      <c r="F62" s="7"/>
      <c r="G62" s="7"/>
      <c r="H62" s="7"/>
      <c r="I62" s="7"/>
      <c r="J62" s="7"/>
      <c r="K62" s="8" t="str">
        <f aca="false">IF(COUNT(F62:J62)=0,"",SUM(F62:J62))</f>
        <v/>
      </c>
      <c r="L62" s="9"/>
      <c r="M62" s="9"/>
      <c r="N62" s="6"/>
    </row>
    <row r="63" customFormat="false" ht="15" hidden="false" customHeight="false" outlineLevel="0" collapsed="false">
      <c r="A63" s="5" t="n">
        <v>56</v>
      </c>
      <c r="B63" s="6"/>
      <c r="C63" s="6"/>
      <c r="D63" s="6"/>
      <c r="E63" s="6"/>
      <c r="F63" s="7"/>
      <c r="G63" s="7"/>
      <c r="H63" s="7"/>
      <c r="I63" s="7"/>
      <c r="J63" s="7"/>
      <c r="K63" s="8" t="str">
        <f aca="false">IF(COUNT(F63:J63)=0,"",SUM(F63:J63))</f>
        <v/>
      </c>
      <c r="L63" s="9"/>
      <c r="M63" s="9"/>
      <c r="N63" s="6"/>
    </row>
    <row r="64" customFormat="false" ht="15" hidden="false" customHeight="false" outlineLevel="0" collapsed="false">
      <c r="A64" s="5" t="n">
        <v>57</v>
      </c>
      <c r="B64" s="6"/>
      <c r="C64" s="6"/>
      <c r="D64" s="6"/>
      <c r="E64" s="6"/>
      <c r="F64" s="7"/>
      <c r="G64" s="7"/>
      <c r="H64" s="7"/>
      <c r="I64" s="7"/>
      <c r="J64" s="7"/>
      <c r="K64" s="8" t="str">
        <f aca="false">IF(COUNT(F64:J64)=0,"",SUM(F64:J64))</f>
        <v/>
      </c>
      <c r="L64" s="9"/>
      <c r="M64" s="9"/>
      <c r="N64" s="6"/>
    </row>
    <row r="65" customFormat="false" ht="15" hidden="false" customHeight="false" outlineLevel="0" collapsed="false">
      <c r="A65" s="5" t="n">
        <v>58</v>
      </c>
      <c r="B65" s="6"/>
      <c r="C65" s="6"/>
      <c r="D65" s="6"/>
      <c r="E65" s="6"/>
      <c r="F65" s="7"/>
      <c r="G65" s="7"/>
      <c r="H65" s="7"/>
      <c r="I65" s="7"/>
      <c r="J65" s="7"/>
      <c r="K65" s="8" t="str">
        <f aca="false">IF(COUNT(F65:J65)=0,"",SUM(F65:J65))</f>
        <v/>
      </c>
      <c r="L65" s="9"/>
      <c r="M65" s="9"/>
      <c r="N65" s="6"/>
    </row>
    <row r="66" customFormat="false" ht="15" hidden="false" customHeight="false" outlineLevel="0" collapsed="false">
      <c r="A66" s="5" t="n">
        <v>59</v>
      </c>
      <c r="B66" s="6"/>
      <c r="C66" s="6"/>
      <c r="D66" s="6"/>
      <c r="E66" s="6"/>
      <c r="F66" s="7"/>
      <c r="G66" s="7"/>
      <c r="H66" s="7"/>
      <c r="I66" s="7"/>
      <c r="J66" s="7"/>
      <c r="K66" s="8" t="str">
        <f aca="false">IF(COUNT(F66:J66)=0,"",SUM(F66:J66))</f>
        <v/>
      </c>
      <c r="L66" s="9"/>
      <c r="M66" s="9"/>
      <c r="N66" s="6"/>
    </row>
    <row r="67" customFormat="false" ht="15" hidden="false" customHeight="false" outlineLevel="0" collapsed="false">
      <c r="A67" s="5" t="n">
        <v>60</v>
      </c>
      <c r="B67" s="6"/>
      <c r="C67" s="6"/>
      <c r="D67" s="6"/>
      <c r="E67" s="6"/>
      <c r="F67" s="7"/>
      <c r="G67" s="7"/>
      <c r="H67" s="7"/>
      <c r="I67" s="7"/>
      <c r="J67" s="7"/>
      <c r="K67" s="8" t="str">
        <f aca="false">IF(COUNT(F67:J67)=0,"",SUM(F67:J67))</f>
        <v/>
      </c>
      <c r="L67" s="9"/>
      <c r="M67" s="9"/>
      <c r="N67" s="6"/>
    </row>
    <row r="68" customFormat="false" ht="15" hidden="false" customHeight="false" outlineLevel="0" collapsed="false">
      <c r="A68" s="5" t="n">
        <v>61</v>
      </c>
      <c r="B68" s="6"/>
      <c r="C68" s="6"/>
      <c r="D68" s="6"/>
      <c r="E68" s="6"/>
      <c r="F68" s="7"/>
      <c r="G68" s="7"/>
      <c r="H68" s="7"/>
      <c r="I68" s="7"/>
      <c r="J68" s="7"/>
      <c r="K68" s="8" t="str">
        <f aca="false">IF(COUNT(F68:J68)=0,"",SUM(F68:J68))</f>
        <v/>
      </c>
      <c r="L68" s="9"/>
      <c r="M68" s="9"/>
      <c r="N68" s="6"/>
    </row>
    <row r="69" customFormat="false" ht="15" hidden="false" customHeight="false" outlineLevel="0" collapsed="false">
      <c r="A69" s="5" t="n">
        <v>62</v>
      </c>
      <c r="B69" s="6"/>
      <c r="C69" s="6"/>
      <c r="D69" s="6"/>
      <c r="E69" s="6"/>
      <c r="F69" s="7"/>
      <c r="G69" s="7"/>
      <c r="H69" s="7"/>
      <c r="I69" s="7"/>
      <c r="J69" s="7"/>
      <c r="K69" s="8" t="str">
        <f aca="false">IF(COUNT(F69:J69)=0,"",SUM(F69:J69))</f>
        <v/>
      </c>
      <c r="L69" s="9"/>
      <c r="M69" s="9"/>
      <c r="N69" s="6"/>
    </row>
    <row r="70" customFormat="false" ht="15" hidden="false" customHeight="false" outlineLevel="0" collapsed="false">
      <c r="A70" s="5" t="n">
        <v>63</v>
      </c>
      <c r="B70" s="6"/>
      <c r="C70" s="6"/>
      <c r="D70" s="6"/>
      <c r="E70" s="6"/>
      <c r="F70" s="7"/>
      <c r="G70" s="7"/>
      <c r="H70" s="7"/>
      <c r="I70" s="7"/>
      <c r="J70" s="7"/>
      <c r="K70" s="8" t="str">
        <f aca="false">IF(COUNT(F70:J70)=0,"",SUM(F70:J70))</f>
        <v/>
      </c>
      <c r="L70" s="9"/>
      <c r="M70" s="9"/>
      <c r="N70" s="6"/>
    </row>
    <row r="71" customFormat="false" ht="15" hidden="false" customHeight="false" outlineLevel="0" collapsed="false">
      <c r="A71" s="5" t="n">
        <v>64</v>
      </c>
      <c r="B71" s="6"/>
      <c r="C71" s="6"/>
      <c r="D71" s="6"/>
      <c r="E71" s="6"/>
      <c r="F71" s="7"/>
      <c r="G71" s="7"/>
      <c r="H71" s="7"/>
      <c r="I71" s="7"/>
      <c r="J71" s="7"/>
      <c r="K71" s="8" t="str">
        <f aca="false">IF(COUNT(F71:J71)=0,"",SUM(F71:J71))</f>
        <v/>
      </c>
      <c r="L71" s="9"/>
      <c r="M71" s="9"/>
      <c r="N71" s="6"/>
    </row>
    <row r="72" customFormat="false" ht="15" hidden="false" customHeight="false" outlineLevel="0" collapsed="false">
      <c r="A72" s="5" t="n">
        <v>65</v>
      </c>
      <c r="B72" s="6"/>
      <c r="C72" s="6"/>
      <c r="D72" s="6"/>
      <c r="E72" s="6"/>
      <c r="F72" s="7"/>
      <c r="G72" s="7"/>
      <c r="H72" s="7"/>
      <c r="I72" s="7"/>
      <c r="J72" s="7"/>
      <c r="K72" s="8" t="str">
        <f aca="false">IF(COUNT(F72:J72)=0,"",SUM(F72:J72))</f>
        <v/>
      </c>
      <c r="L72" s="9"/>
      <c r="M72" s="9"/>
      <c r="N72" s="6"/>
    </row>
    <row r="73" customFormat="false" ht="15" hidden="false" customHeight="false" outlineLevel="0" collapsed="false">
      <c r="A73" s="5" t="n">
        <v>66</v>
      </c>
      <c r="B73" s="6"/>
      <c r="C73" s="6"/>
      <c r="D73" s="6"/>
      <c r="E73" s="6"/>
      <c r="F73" s="7"/>
      <c r="G73" s="7"/>
      <c r="H73" s="7"/>
      <c r="I73" s="7"/>
      <c r="J73" s="7"/>
      <c r="K73" s="8" t="str">
        <f aca="false">IF(COUNT(F73:J73)=0,"",SUM(F73:J73))</f>
        <v/>
      </c>
      <c r="L73" s="9"/>
      <c r="M73" s="9"/>
      <c r="N73" s="6"/>
    </row>
    <row r="74" customFormat="false" ht="15" hidden="false" customHeight="false" outlineLevel="0" collapsed="false">
      <c r="A74" s="5" t="n">
        <v>67</v>
      </c>
      <c r="B74" s="6"/>
      <c r="C74" s="6"/>
      <c r="D74" s="6"/>
      <c r="E74" s="6"/>
      <c r="F74" s="7"/>
      <c r="G74" s="7"/>
      <c r="H74" s="7"/>
      <c r="I74" s="7"/>
      <c r="J74" s="7"/>
      <c r="K74" s="8" t="str">
        <f aca="false">IF(COUNT(F74:J74)=0,"",SUM(F74:J74))</f>
        <v/>
      </c>
      <c r="L74" s="9"/>
      <c r="M74" s="9"/>
      <c r="N74" s="6"/>
    </row>
    <row r="75" customFormat="false" ht="15" hidden="false" customHeight="false" outlineLevel="0" collapsed="false">
      <c r="A75" s="5" t="n">
        <v>68</v>
      </c>
      <c r="B75" s="6"/>
      <c r="C75" s="6"/>
      <c r="D75" s="6"/>
      <c r="E75" s="6"/>
      <c r="F75" s="7"/>
      <c r="G75" s="7"/>
      <c r="H75" s="7"/>
      <c r="I75" s="7"/>
      <c r="J75" s="7"/>
      <c r="K75" s="8" t="str">
        <f aca="false">IF(COUNT(F75:J75)=0,"",SUM(F75:J75))</f>
        <v/>
      </c>
      <c r="L75" s="9"/>
      <c r="M75" s="9"/>
      <c r="N75" s="6"/>
    </row>
    <row r="76" customFormat="false" ht="15" hidden="false" customHeight="false" outlineLevel="0" collapsed="false">
      <c r="A76" s="5" t="n">
        <v>69</v>
      </c>
      <c r="B76" s="6"/>
      <c r="C76" s="6"/>
      <c r="D76" s="6"/>
      <c r="E76" s="6"/>
      <c r="F76" s="7"/>
      <c r="G76" s="7"/>
      <c r="H76" s="7"/>
      <c r="I76" s="7"/>
      <c r="J76" s="7"/>
      <c r="K76" s="8" t="str">
        <f aca="false">IF(COUNT(F76:J76)=0,"",SUM(F76:J76))</f>
        <v/>
      </c>
      <c r="L76" s="9"/>
      <c r="M76" s="9"/>
      <c r="N76" s="6"/>
    </row>
    <row r="77" customFormat="false" ht="15" hidden="false" customHeight="false" outlineLevel="0" collapsed="false">
      <c r="A77" s="5" t="n">
        <v>70</v>
      </c>
      <c r="B77" s="6"/>
      <c r="C77" s="6"/>
      <c r="D77" s="6"/>
      <c r="E77" s="6"/>
      <c r="F77" s="7"/>
      <c r="G77" s="7"/>
      <c r="H77" s="7"/>
      <c r="I77" s="7"/>
      <c r="J77" s="7"/>
      <c r="K77" s="8" t="str">
        <f aca="false">IF(COUNT(F77:J77)=0,"",SUM(F77:J77))</f>
        <v/>
      </c>
      <c r="L77" s="9"/>
      <c r="M77" s="9"/>
      <c r="N77" s="6"/>
    </row>
    <row r="78" customFormat="false" ht="15" hidden="false" customHeight="false" outlineLevel="0" collapsed="false">
      <c r="A78" s="5" t="n">
        <v>71</v>
      </c>
      <c r="B78" s="6"/>
      <c r="C78" s="6"/>
      <c r="D78" s="6"/>
      <c r="E78" s="6"/>
      <c r="F78" s="7"/>
      <c r="G78" s="7"/>
      <c r="H78" s="7"/>
      <c r="I78" s="7"/>
      <c r="J78" s="7"/>
      <c r="K78" s="8" t="str">
        <f aca="false">IF(COUNT(F78:J78)=0,"",SUM(F78:J78))</f>
        <v/>
      </c>
      <c r="L78" s="9"/>
      <c r="M78" s="9"/>
      <c r="N78" s="6"/>
    </row>
    <row r="79" customFormat="false" ht="15" hidden="false" customHeight="false" outlineLevel="0" collapsed="false">
      <c r="A79" s="5" t="n">
        <v>72</v>
      </c>
      <c r="B79" s="6"/>
      <c r="C79" s="6"/>
      <c r="D79" s="6"/>
      <c r="E79" s="6"/>
      <c r="F79" s="7"/>
      <c r="G79" s="7"/>
      <c r="H79" s="7"/>
      <c r="I79" s="7"/>
      <c r="J79" s="7"/>
      <c r="K79" s="8" t="str">
        <f aca="false">IF(COUNT(F79:J79)=0,"",SUM(F79:J79))</f>
        <v/>
      </c>
      <c r="L79" s="9"/>
      <c r="M79" s="9"/>
      <c r="N79" s="6"/>
    </row>
    <row r="80" customFormat="false" ht="15" hidden="false" customHeight="false" outlineLevel="0" collapsed="false">
      <c r="A80" s="5" t="n">
        <v>73</v>
      </c>
      <c r="B80" s="6"/>
      <c r="C80" s="6"/>
      <c r="D80" s="6"/>
      <c r="E80" s="6"/>
      <c r="F80" s="7"/>
      <c r="G80" s="7"/>
      <c r="H80" s="7"/>
      <c r="I80" s="7"/>
      <c r="J80" s="7"/>
      <c r="K80" s="8" t="str">
        <f aca="false">IF(COUNT(F80:J80)=0,"",SUM(F80:J80))</f>
        <v/>
      </c>
      <c r="L80" s="9"/>
      <c r="M80" s="9"/>
      <c r="N80" s="6"/>
    </row>
    <row r="81" customFormat="false" ht="15" hidden="false" customHeight="false" outlineLevel="0" collapsed="false">
      <c r="A81" s="5" t="n">
        <v>74</v>
      </c>
      <c r="B81" s="6"/>
      <c r="C81" s="6"/>
      <c r="D81" s="6"/>
      <c r="E81" s="6"/>
      <c r="F81" s="7"/>
      <c r="G81" s="7"/>
      <c r="H81" s="7"/>
      <c r="I81" s="7"/>
      <c r="J81" s="7"/>
      <c r="K81" s="8" t="str">
        <f aca="false">IF(COUNT(F81:J81)=0,"",SUM(F81:J81))</f>
        <v/>
      </c>
      <c r="L81" s="9"/>
      <c r="M81" s="9"/>
      <c r="N81" s="6"/>
    </row>
    <row r="82" customFormat="false" ht="15" hidden="false" customHeight="false" outlineLevel="0" collapsed="false">
      <c r="A82" s="5" t="n">
        <v>75</v>
      </c>
      <c r="B82" s="6"/>
      <c r="C82" s="6"/>
      <c r="D82" s="6"/>
      <c r="E82" s="6"/>
      <c r="F82" s="7"/>
      <c r="G82" s="7"/>
      <c r="H82" s="7"/>
      <c r="I82" s="7"/>
      <c r="J82" s="7"/>
      <c r="K82" s="8" t="str">
        <f aca="false">IF(COUNT(F82:J82)=0,"",SUM(F82:J82))</f>
        <v/>
      </c>
      <c r="L82" s="9"/>
      <c r="M82" s="9"/>
      <c r="N82" s="6"/>
    </row>
    <row r="83" customFormat="false" ht="15" hidden="false" customHeight="false" outlineLevel="0" collapsed="false">
      <c r="A83" s="5" t="n">
        <v>76</v>
      </c>
      <c r="B83" s="6"/>
      <c r="C83" s="6"/>
      <c r="D83" s="6"/>
      <c r="E83" s="6"/>
      <c r="F83" s="7"/>
      <c r="G83" s="7"/>
      <c r="H83" s="7"/>
      <c r="I83" s="7"/>
      <c r="J83" s="7"/>
      <c r="K83" s="8" t="str">
        <f aca="false">IF(COUNT(F83:J83)=0,"",SUM(F83:J83))</f>
        <v/>
      </c>
      <c r="L83" s="9"/>
      <c r="M83" s="9"/>
      <c r="N83" s="6"/>
    </row>
    <row r="84" customFormat="false" ht="15" hidden="false" customHeight="false" outlineLevel="0" collapsed="false">
      <c r="A84" s="5" t="n">
        <v>77</v>
      </c>
      <c r="B84" s="6"/>
      <c r="C84" s="6"/>
      <c r="D84" s="6"/>
      <c r="E84" s="6"/>
      <c r="F84" s="7"/>
      <c r="G84" s="7"/>
      <c r="H84" s="7"/>
      <c r="I84" s="7"/>
      <c r="J84" s="7"/>
      <c r="K84" s="8" t="str">
        <f aca="false">IF(COUNT(F84:J84)=0,"",SUM(F84:J84))</f>
        <v/>
      </c>
      <c r="L84" s="9"/>
      <c r="M84" s="9"/>
      <c r="N84" s="6"/>
    </row>
    <row r="85" customFormat="false" ht="15" hidden="false" customHeight="false" outlineLevel="0" collapsed="false">
      <c r="A85" s="5" t="n">
        <v>78</v>
      </c>
      <c r="B85" s="6"/>
      <c r="C85" s="6"/>
      <c r="D85" s="6"/>
      <c r="E85" s="6"/>
      <c r="F85" s="7"/>
      <c r="G85" s="7"/>
      <c r="H85" s="7"/>
      <c r="I85" s="7"/>
      <c r="J85" s="7"/>
      <c r="K85" s="8" t="str">
        <f aca="false">IF(COUNT(F85:J85)=0,"",SUM(F85:J85))</f>
        <v/>
      </c>
      <c r="L85" s="9"/>
      <c r="M85" s="9"/>
      <c r="N85" s="6"/>
    </row>
    <row r="86" customFormat="false" ht="15" hidden="false" customHeight="false" outlineLevel="0" collapsed="false">
      <c r="A86" s="5" t="n">
        <v>79</v>
      </c>
      <c r="B86" s="6"/>
      <c r="C86" s="6"/>
      <c r="D86" s="6"/>
      <c r="E86" s="6"/>
      <c r="F86" s="7"/>
      <c r="G86" s="7"/>
      <c r="H86" s="7"/>
      <c r="I86" s="7"/>
      <c r="J86" s="7"/>
      <c r="K86" s="8" t="str">
        <f aca="false">IF(COUNT(F86:J86)=0,"",SUM(F86:J86))</f>
        <v/>
      </c>
      <c r="L86" s="9"/>
      <c r="M86" s="9"/>
      <c r="N86" s="6"/>
    </row>
    <row r="87" customFormat="false" ht="15" hidden="false" customHeight="false" outlineLevel="0" collapsed="false">
      <c r="A87" s="5" t="n">
        <v>80</v>
      </c>
      <c r="B87" s="6"/>
      <c r="C87" s="6"/>
      <c r="D87" s="6"/>
      <c r="E87" s="6"/>
      <c r="F87" s="7"/>
      <c r="G87" s="7"/>
      <c r="H87" s="7"/>
      <c r="I87" s="7"/>
      <c r="J87" s="7"/>
      <c r="K87" s="8" t="str">
        <f aca="false">IF(COUNT(F87:J87)=0,"",SUM(F87:J87))</f>
        <v/>
      </c>
      <c r="L87" s="9"/>
      <c r="M87" s="9"/>
      <c r="N87" s="6"/>
    </row>
    <row r="89" customFormat="false" ht="15" hidden="false" customHeight="false" outlineLevel="0" collapsed="false">
      <c r="A89" s="10" t="s">
        <v>24</v>
      </c>
    </row>
    <row r="90" customFormat="false" ht="15" hidden="false" customHeight="false" outlineLevel="0" collapsed="false">
      <c r="A90" s="11" t="s">
        <v>25</v>
      </c>
      <c r="C90" s="12" t="n">
        <f aca="false">COUNT(K8:K87)</f>
        <v>1</v>
      </c>
    </row>
    <row r="91" customFormat="false" ht="15" hidden="false" customHeight="false" outlineLevel="0" collapsed="false">
      <c r="A91" s="11" t="s">
        <v>26</v>
      </c>
      <c r="C91" s="12" t="n">
        <f aca="false">IFERROR(AVERAGE(K8:K87),0)</f>
        <v>4.3</v>
      </c>
    </row>
    <row r="92" customFormat="false" ht="15" hidden="false" customHeight="false" outlineLevel="0" collapsed="false">
      <c r="A92" s="11" t="s">
        <v>27</v>
      </c>
      <c r="C92" s="12" t="n">
        <f aca="false">IFERROR(MAX(K8:K87),0)</f>
        <v>4.3</v>
      </c>
    </row>
    <row r="93" customFormat="false" ht="15" hidden="false" customHeight="false" outlineLevel="0" collapsed="false">
      <c r="A93" s="11" t="s">
        <v>28</v>
      </c>
      <c r="C93" s="12" t="n">
        <f aca="false">IFERROR(MIN(K8:K87),0)</f>
        <v>4.3</v>
      </c>
    </row>
    <row r="94" customFormat="false" ht="15" hidden="false" customHeight="false" outlineLevel="0" collapsed="false">
      <c r="A94" s="11" t="s">
        <v>29</v>
      </c>
      <c r="C94" s="12" t="n">
        <f aca="false">COUNTIF(N8:N87,"Not deployed")</f>
        <v>0</v>
      </c>
    </row>
    <row r="95" customFormat="false" ht="15" hidden="false" customHeight="false" outlineLevel="0" collapsed="false">
      <c r="A95" s="11" t="s">
        <v>30</v>
      </c>
      <c r="C95" s="12" t="n">
        <f aca="false">COUNTIF(N8:N87,"Absent")</f>
        <v>0</v>
      </c>
    </row>
    <row r="96" customFormat="false" ht="15" hidden="false" customHeight="false" outlineLevel="0" collapsed="false">
      <c r="A96" s="11" t="s">
        <v>31</v>
      </c>
      <c r="C96" s="12" t="n">
        <f aca="false">COUNTIF(N8:N87,"Re-evaluate")</f>
        <v>0</v>
      </c>
    </row>
  </sheetData>
  <mergeCells count="1">
    <mergeCell ref="A4:N5"/>
  </mergeCells>
  <dataValidations count="1">
    <dataValidation allowBlank="true" errorStyle="stop" operator="between" showDropDown="false" showErrorMessage="false" showInputMessage="false" sqref="N8:N87" type="list">
      <formula1>"Done,Absent,Not deployed,Re-evaluate,Late"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9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27.75" hidden="false" customHeight="true" outlineLevel="0" collapsed="false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</row>
    <row r="5" customFormat="false" ht="55.5" hidden="false" customHeight="true" outlineLevel="0" collapsed="false">
      <c r="A5" s="13" t="s">
        <v>40</v>
      </c>
      <c r="B5" s="14" t="s">
        <v>41</v>
      </c>
      <c r="C5" s="15" t="n">
        <v>2</v>
      </c>
      <c r="D5" s="9" t="s">
        <v>42</v>
      </c>
      <c r="E5" s="9" t="s">
        <v>43</v>
      </c>
      <c r="F5" s="9" t="s">
        <v>44</v>
      </c>
    </row>
    <row r="6" customFormat="false" ht="55.5" hidden="false" customHeight="true" outlineLevel="0" collapsed="false">
      <c r="A6" s="13" t="s">
        <v>45</v>
      </c>
      <c r="B6" s="14" t="s">
        <v>46</v>
      </c>
      <c r="C6" s="15" t="n">
        <v>1.25</v>
      </c>
      <c r="D6" s="9" t="s">
        <v>47</v>
      </c>
      <c r="E6" s="9" t="s">
        <v>48</v>
      </c>
      <c r="F6" s="9" t="s">
        <v>49</v>
      </c>
    </row>
    <row r="7" customFormat="false" ht="55.5" hidden="false" customHeight="true" outlineLevel="0" collapsed="false">
      <c r="A7" s="13" t="s">
        <v>50</v>
      </c>
      <c r="B7" s="14" t="s">
        <v>51</v>
      </c>
      <c r="C7" s="15" t="n">
        <v>0.75</v>
      </c>
      <c r="D7" s="9" t="s">
        <v>52</v>
      </c>
      <c r="E7" s="9" t="s">
        <v>53</v>
      </c>
      <c r="F7" s="9" t="s">
        <v>54</v>
      </c>
    </row>
    <row r="8" customFormat="false" ht="55.5" hidden="false" customHeight="true" outlineLevel="0" collapsed="false">
      <c r="A8" s="13" t="s">
        <v>55</v>
      </c>
      <c r="B8" s="14" t="s">
        <v>56</v>
      </c>
      <c r="C8" s="15" t="n">
        <v>0.5</v>
      </c>
      <c r="D8" s="9" t="s">
        <v>57</v>
      </c>
      <c r="E8" s="9" t="s">
        <v>58</v>
      </c>
      <c r="F8" s="9" t="s">
        <v>59</v>
      </c>
    </row>
    <row r="9" customFormat="false" ht="55.5" hidden="false" customHeight="true" outlineLevel="0" collapsed="false">
      <c r="A9" s="13" t="s">
        <v>60</v>
      </c>
      <c r="B9" s="14" t="s">
        <v>56</v>
      </c>
      <c r="C9" s="15" t="n">
        <v>0.5</v>
      </c>
      <c r="D9" s="9" t="s">
        <v>61</v>
      </c>
      <c r="E9" s="9" t="s">
        <v>62</v>
      </c>
      <c r="F9" s="9" t="s">
        <v>63</v>
      </c>
    </row>
    <row r="10" customFormat="false" ht="15" hidden="false" customHeight="false" outlineLevel="0" collapsed="false">
      <c r="A10" s="10" t="s">
        <v>64</v>
      </c>
      <c r="C10" s="16" t="n">
        <f aca="false">SUM(C5:C9)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17" t="s">
        <v>66</v>
      </c>
      <c r="B2" s="17"/>
      <c r="C2" s="17"/>
    </row>
    <row r="4" customFormat="false" ht="15" hidden="false" customHeight="false" outlineLevel="0" collapsed="false">
      <c r="A4" s="18" t="s">
        <v>67</v>
      </c>
      <c r="B4" s="18" t="s">
        <v>68</v>
      </c>
      <c r="C4" s="18" t="s">
        <v>69</v>
      </c>
    </row>
    <row r="5" customFormat="false" ht="30" hidden="false" customHeight="true" outlineLevel="0" collapsed="false">
      <c r="A5" s="19" t="s">
        <v>70</v>
      </c>
      <c r="B5" s="9" t="s">
        <v>71</v>
      </c>
      <c r="C5" s="9" t="s">
        <v>72</v>
      </c>
    </row>
    <row r="6" customFormat="false" ht="30" hidden="false" customHeight="true" outlineLevel="0" collapsed="false">
      <c r="A6" s="19" t="s">
        <v>70</v>
      </c>
      <c r="B6" s="9" t="s">
        <v>73</v>
      </c>
      <c r="C6" s="9" t="s">
        <v>74</v>
      </c>
    </row>
    <row r="7" customFormat="false" ht="30" hidden="false" customHeight="true" outlineLevel="0" collapsed="false">
      <c r="A7" s="19" t="s">
        <v>70</v>
      </c>
      <c r="B7" s="9" t="s">
        <v>75</v>
      </c>
      <c r="C7" s="9" t="s">
        <v>76</v>
      </c>
    </row>
    <row r="8" customFormat="false" ht="30" hidden="false" customHeight="true" outlineLevel="0" collapsed="false">
      <c r="A8" s="19" t="s">
        <v>77</v>
      </c>
      <c r="B8" s="9" t="s">
        <v>78</v>
      </c>
      <c r="C8" s="9" t="s">
        <v>79</v>
      </c>
    </row>
    <row r="9" customFormat="false" ht="30" hidden="false" customHeight="true" outlineLevel="0" collapsed="false">
      <c r="A9" s="19" t="s">
        <v>77</v>
      </c>
      <c r="B9" s="9" t="s">
        <v>80</v>
      </c>
      <c r="C9" s="9" t="s">
        <v>81</v>
      </c>
    </row>
    <row r="10" customFormat="false" ht="30" hidden="false" customHeight="true" outlineLevel="0" collapsed="false">
      <c r="A10" s="19" t="s">
        <v>82</v>
      </c>
      <c r="B10" s="9" t="s">
        <v>83</v>
      </c>
      <c r="C10" s="9" t="s">
        <v>84</v>
      </c>
    </row>
    <row r="11" customFormat="false" ht="30" hidden="false" customHeight="true" outlineLevel="0" collapsed="false">
      <c r="A11" s="19" t="s">
        <v>82</v>
      </c>
      <c r="B11" s="9" t="s">
        <v>85</v>
      </c>
      <c r="C11" s="9" t="s">
        <v>86</v>
      </c>
    </row>
    <row r="12" customFormat="false" ht="30" hidden="false" customHeight="true" outlineLevel="0" collapsed="false">
      <c r="A12" s="19" t="s">
        <v>87</v>
      </c>
      <c r="B12" s="9" t="s">
        <v>88</v>
      </c>
      <c r="C12" s="9" t="s">
        <v>89</v>
      </c>
    </row>
    <row r="13" customFormat="false" ht="30" hidden="false" customHeight="true" outlineLevel="0" collapsed="false">
      <c r="A13" s="19" t="s">
        <v>87</v>
      </c>
      <c r="B13" s="9" t="s">
        <v>90</v>
      </c>
      <c r="C13" s="9" t="s">
        <v>91</v>
      </c>
    </row>
    <row r="14" customFormat="false" ht="30" hidden="false" customHeight="true" outlineLevel="0" collapsed="false">
      <c r="A14" s="19" t="s">
        <v>87</v>
      </c>
      <c r="B14" s="9" t="s">
        <v>92</v>
      </c>
      <c r="C14" s="9" t="s">
        <v>93</v>
      </c>
    </row>
    <row r="15" customFormat="false" ht="30" hidden="false" customHeight="true" outlineLevel="0" collapsed="false">
      <c r="A15" s="19" t="s">
        <v>94</v>
      </c>
      <c r="B15" s="9" t="s">
        <v>95</v>
      </c>
      <c r="C15" s="9" t="s">
        <v>96</v>
      </c>
    </row>
    <row r="16" customFormat="false" ht="30" hidden="false" customHeight="true" outlineLevel="0" collapsed="false">
      <c r="A16" s="19" t="s">
        <v>94</v>
      </c>
      <c r="B16" s="9" t="s">
        <v>97</v>
      </c>
      <c r="C16" s="9" t="s">
        <v>98</v>
      </c>
    </row>
    <row r="17" customFormat="false" ht="30" hidden="false" customHeight="true" outlineLevel="0" collapsed="false">
      <c r="A17" s="19" t="s">
        <v>99</v>
      </c>
      <c r="B17" s="9" t="s">
        <v>100</v>
      </c>
      <c r="C17" s="9" t="s">
        <v>101</v>
      </c>
    </row>
    <row r="18" customFormat="false" ht="30" hidden="false" customHeight="true" outlineLevel="0" collapsed="false">
      <c r="A18" s="19" t="s">
        <v>99</v>
      </c>
      <c r="B18" s="9" t="s">
        <v>102</v>
      </c>
      <c r="C18" s="9" t="s">
        <v>103</v>
      </c>
    </row>
    <row r="19" customFormat="false" ht="30" hidden="false" customHeight="true" outlineLevel="0" collapsed="false">
      <c r="A19" s="19" t="s">
        <v>99</v>
      </c>
      <c r="B19" s="9" t="s">
        <v>104</v>
      </c>
      <c r="C19" s="9" t="s">
        <v>105</v>
      </c>
    </row>
    <row r="20" customFormat="false" ht="30" hidden="false" customHeight="true" outlineLevel="0" collapsed="false">
      <c r="A20" s="19" t="s">
        <v>106</v>
      </c>
      <c r="B20" s="9" t="s">
        <v>107</v>
      </c>
      <c r="C20" s="9" t="s">
        <v>108</v>
      </c>
    </row>
    <row r="21" customFormat="false" ht="30" hidden="false" customHeight="true" outlineLevel="0" collapsed="false">
      <c r="A21" s="19" t="s">
        <v>109</v>
      </c>
      <c r="B21" s="9" t="s">
        <v>110</v>
      </c>
      <c r="C21" s="9" t="s">
        <v>111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17" t="s">
        <v>113</v>
      </c>
      <c r="B2" s="17"/>
      <c r="C2" s="17"/>
    </row>
    <row r="4" customFormat="false" ht="15" hidden="false" customHeight="false" outlineLevel="0" collapsed="false">
      <c r="A4" s="18" t="s">
        <v>114</v>
      </c>
      <c r="B4" s="18" t="s">
        <v>115</v>
      </c>
      <c r="C4" s="18" t="s">
        <v>116</v>
      </c>
    </row>
    <row r="5" customFormat="false" ht="30" hidden="false" customHeight="true" outlineLevel="0" collapsed="false">
      <c r="A5" s="9" t="s">
        <v>117</v>
      </c>
      <c r="B5" s="9" t="s">
        <v>118</v>
      </c>
      <c r="C5" s="9" t="s">
        <v>119</v>
      </c>
    </row>
    <row r="6" customFormat="false" ht="30" hidden="false" customHeight="true" outlineLevel="0" collapsed="false">
      <c r="A6" s="9" t="s">
        <v>120</v>
      </c>
      <c r="B6" s="9" t="s">
        <v>121</v>
      </c>
      <c r="C6" s="9" t="s">
        <v>122</v>
      </c>
    </row>
    <row r="7" customFormat="false" ht="30" hidden="false" customHeight="true" outlineLevel="0" collapsed="false">
      <c r="A7" s="9" t="s">
        <v>123</v>
      </c>
      <c r="B7" s="9" t="s">
        <v>121</v>
      </c>
      <c r="C7" s="9" t="s">
        <v>124</v>
      </c>
    </row>
    <row r="8" customFormat="false" ht="30" hidden="false" customHeight="true" outlineLevel="0" collapsed="false">
      <c r="A8" s="9" t="s">
        <v>125</v>
      </c>
      <c r="B8" s="9" t="s">
        <v>126</v>
      </c>
      <c r="C8" s="9" t="s">
        <v>127</v>
      </c>
    </row>
    <row r="9" customFormat="false" ht="30" hidden="false" customHeight="true" outlineLevel="0" collapsed="false">
      <c r="A9" s="9" t="s">
        <v>128</v>
      </c>
      <c r="B9" s="9" t="s">
        <v>129</v>
      </c>
      <c r="C9" s="9" t="s">
        <v>130</v>
      </c>
    </row>
    <row r="10" customFormat="false" ht="30" hidden="false" customHeight="true" outlineLevel="0" collapsed="false">
      <c r="A10" s="9" t="s">
        <v>131</v>
      </c>
      <c r="B10" s="9" t="s">
        <v>132</v>
      </c>
      <c r="C10" s="9" t="s">
        <v>133</v>
      </c>
    </row>
    <row r="11" customFormat="false" ht="30" hidden="false" customHeight="true" outlineLevel="0" collapsed="false">
      <c r="A11" s="9" t="s">
        <v>134</v>
      </c>
      <c r="B11" s="9" t="s">
        <v>135</v>
      </c>
      <c r="C11" s="9" t="s">
        <v>136</v>
      </c>
    </row>
    <row r="12" customFormat="false" ht="30" hidden="false" customHeight="true" outlineLevel="0" collapsed="false">
      <c r="A12" s="9" t="s">
        <v>137</v>
      </c>
      <c r="B12" s="9" t="s">
        <v>138</v>
      </c>
      <c r="C12" s="9" t="s">
        <v>139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2026-09-12T02:45:58Z</dcterms:created>
  <dc:creator>openpyxl</dc:creator>
  <dc:description/>
  <dc:language>en-US</dc:language>
  <cp:lastModifiedBy/>
  <dcterms:modified xsi:type="dcterms:W3CDTF">2026-09-12T02:45:58Z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